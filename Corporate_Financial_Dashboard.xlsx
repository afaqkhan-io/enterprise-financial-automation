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onthly MoM Analy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  <font>
      <name val="Segoe UI"/>
      <b val="1"/>
      <color rgb="001F4E79"/>
      <sz val="14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0" borderId="1" pivotButton="0" quotePrefix="0" xfId="0"/>
    <xf numFmtId="164" fontId="4" fillId="0" borderId="1" pivotButton="0" quotePrefix="0" xfId="0"/>
    <xf numFmtId="0" fontId="3" fillId="3" borderId="1" pivotButton="0" quotePrefix="0" xfId="0"/>
    <xf numFmtId="164" fontId="4" fillId="3" borderId="1" pivotButton="0" quotePrefix="0" xfId="0"/>
    <xf numFmtId="10" fontId="4" fillId="0" borderId="1" pivotButton="0" quotePrefix="0" xfId="0"/>
    <xf numFmtId="0" fontId="5" fillId="0" borderId="0" pivotButton="0" quotePrefix="0" xfId="0"/>
    <xf numFmtId="0" fontId="2" fillId="2" borderId="0" applyAlignment="1" pivotButton="0" quotePrefix="0" xfId="0">
      <alignment horizontal="center"/>
    </xf>
    <xf numFmtId="3" fontId="3" fillId="0" borderId="1" pivotButton="0" quotePrefix="0" xfId="0"/>
    <xf numFmtId="164" fontId="3" fillId="0" borderId="1" pivotButton="0" quotePrefix="0" xfId="0"/>
    <xf numFmtId="10" fontId="3" fillId="0" borderId="1" pivotButton="0" quotePrefix="0" xfId="0"/>
    <xf numFmtId="3" fontId="3" fillId="3" borderId="1" pivotButton="0" quotePrefix="0" xfId="0"/>
    <xf numFmtId="164" fontId="3" fillId="3" borderId="1" pivotButton="0" quotePrefix="0" xfId="0"/>
    <xf numFmtId="10" fontId="3" fillId="3" borderId="1" pivotButton="0" quotePrefix="0" xfId="0"/>
    <xf numFmtId="0" fontId="4" fillId="0" borderId="1" pivotButton="0" quotePrefix="0" xfId="0"/>
    <xf numFmtId="164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Net Revenue vs Net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MoM Analytics'!B1</f>
            </strRef>
          </tx>
          <spPr>
            <a:ln>
              <a:prstDash val="solid"/>
            </a:ln>
          </spPr>
          <cat>
            <numRef>
              <f>'Monthly MoM Analytics'!$A$2:$A$9</f>
            </numRef>
          </cat>
          <val>
            <numRef>
              <f>'Monthly MoM Analytics'!$B$2:$B$9</f>
            </numRef>
          </val>
        </ser>
        <ser>
          <idx val="1"/>
          <order val="1"/>
          <tx>
            <strRef>
              <f>'Monthly MoM Analytics'!C1</f>
            </strRef>
          </tx>
          <spPr>
            <a:ln>
              <a:prstDash val="solid"/>
            </a:ln>
          </spPr>
          <cat>
            <numRef>
              <f>'Monthly MoM Analytics'!$A$2:$A$9</f>
            </numRef>
          </cat>
          <val>
            <numRef>
              <f>'Monthly MoM Analytics'!$C$2:$C$9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Fiscal 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Financial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14" customWidth="1" min="3" max="3"/>
    <col width="13" customWidth="1" min="4" max="4"/>
    <col width="21" customWidth="1" min="5" max="5"/>
  </cols>
  <sheetData>
    <row r="1">
      <c r="A1" s="1" t="inlineStr">
        <is>
          <t>ENTERPRISE PERFORMANCE DASHBOARD</t>
        </is>
      </c>
    </row>
    <row r="2"/>
    <row r="3"/>
    <row r="4">
      <c r="A4" s="2" t="inlineStr">
        <is>
          <t>KPI Metric</t>
        </is>
      </c>
      <c r="B4" s="2" t="inlineStr">
        <is>
          <t>Value</t>
        </is>
      </c>
    </row>
    <row r="5">
      <c r="A5" s="3" t="inlineStr">
        <is>
          <t>Gross System Revenue</t>
        </is>
      </c>
      <c r="B5" s="4" t="n">
        <v>8596125</v>
      </c>
    </row>
    <row r="6">
      <c r="A6" s="5" t="inlineStr">
        <is>
          <t>Discounts Conceded</t>
        </is>
      </c>
      <c r="B6" s="6" t="n">
        <v>855986.76</v>
      </c>
    </row>
    <row r="7">
      <c r="A7" s="3" t="inlineStr">
        <is>
          <t>Net Operating Revenue</t>
        </is>
      </c>
      <c r="B7" s="4" t="n">
        <v>7740138.24</v>
      </c>
    </row>
    <row r="8">
      <c r="A8" s="5" t="inlineStr">
        <is>
          <t>Net Corporate Profit</t>
        </is>
      </c>
      <c r="B8" s="6" t="n">
        <v>3896691.15</v>
      </c>
    </row>
    <row r="9">
      <c r="A9" s="3" t="inlineStr">
        <is>
          <t>Operational Margin</t>
        </is>
      </c>
      <c r="B9" s="7" t="n">
        <v>0.5034000000000001</v>
      </c>
    </row>
    <row r="10"/>
    <row r="11"/>
    <row r="12">
      <c r="A12" s="8" t="inlineStr">
        <is>
          <t>Product Performance Portfolio</t>
        </is>
      </c>
    </row>
    <row r="13"/>
    <row r="14">
      <c r="A14" s="9" t="inlineStr">
        <is>
          <t>Product Name</t>
        </is>
      </c>
      <c r="B14" s="9" t="inlineStr">
        <is>
          <t>Units Sold</t>
        </is>
      </c>
      <c r="C14" s="9" t="inlineStr">
        <is>
          <t>Net Revenue</t>
        </is>
      </c>
      <c r="D14" s="9" t="inlineStr">
        <is>
          <t>Net Profit</t>
        </is>
      </c>
      <c r="E14" s="9" t="inlineStr">
        <is>
          <t>Margin</t>
        </is>
      </c>
    </row>
    <row r="15">
      <c r="A15" s="3" t="inlineStr">
        <is>
          <t>AI Analytics API Token</t>
        </is>
      </c>
      <c r="B15" s="10" t="n">
        <v>8237</v>
      </c>
      <c r="C15" s="11" t="n">
        <v>1960348.57</v>
      </c>
      <c r="D15" s="11" t="n">
        <v>985669.9</v>
      </c>
      <c r="E15" s="12" t="n">
        <v>0.5028</v>
      </c>
    </row>
    <row r="16">
      <c r="A16" s="5" t="inlineStr">
        <is>
          <t>Cloud Workspace Pro</t>
        </is>
      </c>
      <c r="B16" s="13" t="n">
        <v>7995</v>
      </c>
      <c r="C16" s="14" t="n">
        <v>332516.05</v>
      </c>
      <c r="D16" s="14" t="n">
        <v>166632.7</v>
      </c>
      <c r="E16" s="15" t="n">
        <v>0.5011</v>
      </c>
    </row>
    <row r="17">
      <c r="A17" s="3" t="inlineStr">
        <is>
          <t>Cybersecurity Firewall V4</t>
        </is>
      </c>
      <c r="B17" s="10" t="n">
        <v>2168</v>
      </c>
      <c r="C17" s="11" t="n">
        <v>1121108.85</v>
      </c>
      <c r="D17" s="11" t="n">
        <v>558564.63</v>
      </c>
      <c r="E17" s="12" t="n">
        <v>0.4982</v>
      </c>
    </row>
    <row r="18">
      <c r="A18" s="5" t="inlineStr">
        <is>
          <t>Enterprise Server Suite</t>
        </is>
      </c>
      <c r="B18" s="13" t="n">
        <v>2280</v>
      </c>
      <c r="C18" s="14" t="n">
        <v>2398215.81</v>
      </c>
      <c r="D18" s="14" t="n">
        <v>1205031.64</v>
      </c>
      <c r="E18" s="15" t="n">
        <v>0.5024999999999999</v>
      </c>
    </row>
    <row r="19">
      <c r="A19" s="3" t="inlineStr">
        <is>
          <t>Workstation Pro Setup</t>
        </is>
      </c>
      <c r="B19" s="10" t="n">
        <v>2518</v>
      </c>
      <c r="C19" s="11" t="n">
        <v>1927948.96</v>
      </c>
      <c r="D19" s="11" t="n">
        <v>980792.28</v>
      </c>
      <c r="E19" s="12" t="n">
        <v>0.5086999999999999</v>
      </c>
    </row>
  </sheetData>
  <mergeCells count="1">
    <mergeCell ref="A1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25" customWidth="1" min="4" max="4"/>
  </cols>
  <sheetData>
    <row r="1">
      <c r="A1" s="9" t="inlineStr">
        <is>
          <t>Month</t>
        </is>
      </c>
      <c r="B1" s="9" t="inlineStr">
        <is>
          <t>Net Revenue</t>
        </is>
      </c>
      <c r="C1" s="9" t="inlineStr">
        <is>
          <t>Net Profit</t>
        </is>
      </c>
      <c r="D1" s="9" t="inlineStr">
        <is>
          <t>MoM Growth %</t>
        </is>
      </c>
    </row>
    <row r="2">
      <c r="A2" s="16" t="inlineStr">
        <is>
          <t>2026-01</t>
        </is>
      </c>
      <c r="B2" s="17" t="n">
        <v>898404.0699999999</v>
      </c>
      <c r="C2" s="17" t="n">
        <v>458167.87</v>
      </c>
      <c r="D2" s="18" t="n">
        <v>0</v>
      </c>
    </row>
    <row r="3">
      <c r="A3" s="16" t="inlineStr">
        <is>
          <t>2026-02</t>
        </is>
      </c>
      <c r="B3" s="17" t="n">
        <v>995872.78</v>
      </c>
      <c r="C3" s="17" t="n">
        <v>495249.49</v>
      </c>
      <c r="D3" s="18" t="n">
        <v>0.1085</v>
      </c>
    </row>
    <row r="4">
      <c r="A4" s="16" t="inlineStr">
        <is>
          <t>2026-03</t>
        </is>
      </c>
      <c r="B4" s="17" t="n">
        <v>1023454.95</v>
      </c>
      <c r="C4" s="17" t="n">
        <v>519458.37</v>
      </c>
      <c r="D4" s="18" t="n">
        <v>0.0277</v>
      </c>
    </row>
    <row r="5">
      <c r="A5" s="16" t="inlineStr">
        <is>
          <t>2026-04</t>
        </is>
      </c>
      <c r="B5" s="17" t="n">
        <v>983151.8</v>
      </c>
      <c r="C5" s="17" t="n">
        <v>484639.73</v>
      </c>
      <c r="D5" s="18" t="n">
        <v>-0.0394</v>
      </c>
    </row>
    <row r="6">
      <c r="A6" s="16" t="inlineStr">
        <is>
          <t>2026-05</t>
        </is>
      </c>
      <c r="B6" s="17" t="n">
        <v>1047179.12</v>
      </c>
      <c r="C6" s="17" t="n">
        <v>539205.42</v>
      </c>
      <c r="D6" s="18" t="n">
        <v>0.06510000000000001</v>
      </c>
    </row>
    <row r="7">
      <c r="A7" s="16" t="inlineStr">
        <is>
          <t>2026-06</t>
        </is>
      </c>
      <c r="B7" s="17" t="n">
        <v>918136.73</v>
      </c>
      <c r="C7" s="17" t="n">
        <v>458303.79</v>
      </c>
      <c r="D7" s="18" t="n">
        <v>-0.1232</v>
      </c>
    </row>
    <row r="8">
      <c r="A8" s="16" t="inlineStr">
        <is>
          <t>2026-07</t>
        </is>
      </c>
      <c r="B8" s="17" t="n">
        <v>914542.01</v>
      </c>
      <c r="C8" s="17" t="n">
        <v>458640.38</v>
      </c>
      <c r="D8" s="18" t="n">
        <v>-0.003899999999999999</v>
      </c>
    </row>
    <row r="9">
      <c r="A9" s="16" t="inlineStr">
        <is>
          <t>2026-08</t>
        </is>
      </c>
      <c r="B9" s="17" t="n">
        <v>959396.78</v>
      </c>
      <c r="C9" s="17" t="n">
        <v>483026.1</v>
      </c>
      <c r="D9" s="18" t="n">
        <v>0.049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2026-08-28T07:35:28Z</dcterms:created>
  <dcterms:modified xsi:type="dcterms:W3CDTF">2026-08-28T07:35:28Z</dcterms:modified>
</cp:coreProperties>
</file>